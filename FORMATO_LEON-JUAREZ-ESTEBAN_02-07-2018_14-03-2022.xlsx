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200" yWindow="-16320" windowWidth="29040" windowHeight="15720" tabRatio="600" firstSheet="0" activeTab="0" autoFilterDateGrouping="1"/>
  </bookViews>
  <sheets>
    <sheet name="Hoja1" sheetId="1" state="visible" r:id="rId1"/>
  </sheets>
  <definedNames>
    <definedName name="_xlnm.Print_Area" localSheetId="0">'Hoja1'!$A$1:$G$60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* #,##0.00_-;\-&quot;$&quot;* #,##0.00_-;_-&quot;$&quot;* &quot;-&quot;??_-;_-@_-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Tahoma"/>
      <family val="2"/>
      <color theme="1"/>
      <sz val="72"/>
    </font>
    <font>
      <name val="Tahoma"/>
      <family val="2"/>
      <color theme="1"/>
      <sz val="7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5" fillId="0" borderId="0"/>
    <xf numFmtId="164" fontId="5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1" fillId="2" borderId="4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 wrapText="1"/>
    </xf>
    <xf numFmtId="0" fontId="0" fillId="0" borderId="11" pivotButton="0" quotePrefix="0" xfId="0"/>
    <xf numFmtId="2" fontId="0" fillId="0" borderId="1" applyAlignment="1" pivotButton="0" quotePrefix="0" xfId="0">
      <alignment horizontal="center" vertical="center"/>
    </xf>
    <xf numFmtId="14" fontId="0" fillId="0" borderId="1" applyAlignment="1" pivotButton="0" quotePrefix="0" xfId="0">
      <alignment vertical="center"/>
    </xf>
    <xf numFmtId="0" fontId="0" fillId="0" borderId="1" applyAlignment="1" pivotButton="0" quotePrefix="1" xfId="0">
      <alignment vertical="center"/>
    </xf>
    <xf numFmtId="0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wrapText="1"/>
    </xf>
    <xf numFmtId="0" fontId="1" fillId="2" borderId="6" applyAlignment="1" pivotButton="0" quotePrefix="0" xfId="0">
      <alignment horizontal="center" wrapText="1"/>
    </xf>
    <xf numFmtId="0" fontId="1" fillId="2" borderId="3" applyAlignment="1" pivotButton="0" quotePrefix="0" xfId="0">
      <alignment horizontal="center" wrapText="1"/>
    </xf>
    <xf numFmtId="0" fontId="1" fillId="0" borderId="1" applyAlignment="1" pivotButton="0" quotePrefix="0" xfId="0">
      <alignment horizontal="center"/>
    </xf>
    <xf numFmtId="164" fontId="6" fillId="0" borderId="4" applyAlignment="1" pivotButton="0" quotePrefix="0" xfId="1">
      <alignment vertical="center"/>
    </xf>
    <xf numFmtId="164" fontId="6" fillId="0" borderId="5" applyAlignment="1" pivotButton="0" quotePrefix="0" xfId="1">
      <alignment vertical="center"/>
    </xf>
    <xf numFmtId="0" fontId="0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0" fillId="0" borderId="6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7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1">
      <alignment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2" pivotButton="0" quotePrefix="0" xfId="0"/>
  </cellXfs>
  <cellStyles count="2">
    <cellStyle name="Normal" xfId="0" builtinId="0"/>
    <cellStyle name="Currency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19050</colOff>
      <row>1</row>
      <rowOff>38100</rowOff>
    </from>
    <to>
      <col>1</col>
      <colOff>2057400</colOff>
      <row>2</row>
      <rowOff>9789</rowOff>
    </to>
    <pic>
      <nvPicPr>
        <cNvPr id="3" name="Picture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9050" y="276225"/>
          <a:ext cx="3457575" cy="80036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57"/>
  <sheetViews>
    <sheetView tabSelected="1" view="pageBreakPreview" zoomScaleNormal="100" zoomScaleSheetLayoutView="100" workbookViewId="0">
      <selection activeCell="F48" sqref="F48"/>
    </sheetView>
  </sheetViews>
  <sheetFormatPr baseColWidth="8" defaultColWidth="11.42578125" defaultRowHeight="15"/>
  <cols>
    <col width="21.28515625" customWidth="1" min="1" max="1"/>
    <col width="31.140625" customWidth="1" min="2" max="2"/>
    <col width="16.85546875" customWidth="1" min="3" max="3"/>
    <col width="23.7109375" customWidth="1" min="4" max="4"/>
    <col width="15" customWidth="1" min="5" max="5"/>
    <col width="14.42578125" customWidth="1" min="6" max="7"/>
    <col width="11.42578125" customWidth="1" min="8" max="10"/>
  </cols>
  <sheetData>
    <row r="1" ht="18.75" customHeight="1">
      <c r="A1" s="1" t="n"/>
      <c r="B1" s="1" t="n"/>
      <c r="C1" s="1" t="n"/>
      <c r="D1" s="1" t="n"/>
      <c r="E1" s="1" t="n"/>
      <c r="F1" s="1" t="n"/>
      <c r="G1" s="1" t="n"/>
    </row>
    <row r="2" ht="65.25" customHeight="1">
      <c r="A2" s="23" t="n"/>
      <c r="C2" s="1" t="n"/>
      <c r="D2" s="1" t="n"/>
    </row>
    <row r="3" ht="21" customHeight="1">
      <c r="A3" s="24" t="n"/>
      <c r="C3" s="1" t="n"/>
      <c r="D3" s="1" t="n"/>
      <c r="E3" s="39" t="inlineStr">
        <is>
          <t>FECHAS DE VIAJE</t>
        </is>
      </c>
      <c r="F3" s="40" t="n"/>
      <c r="G3" s="41" t="n"/>
    </row>
    <row r="4" ht="18.75" customHeight="1">
      <c r="A4" s="24" t="n"/>
      <c r="B4" s="24" t="n"/>
      <c r="C4" s="1" t="n"/>
      <c r="D4" s="1" t="n"/>
      <c r="E4" s="2" t="inlineStr">
        <is>
          <t>Inicio</t>
        </is>
      </c>
      <c r="F4" s="35" t="inlineStr">
        <is>
          <t>02-07-2018</t>
        </is>
      </c>
      <c r="G4" s="41" t="n"/>
    </row>
    <row r="5" ht="18.75" customHeight="1">
      <c r="A5" s="1" t="n"/>
      <c r="B5" s="1" t="n"/>
      <c r="C5" s="1" t="n"/>
      <c r="D5" s="1" t="n"/>
      <c r="E5" s="3" t="inlineStr">
        <is>
          <t>Fin</t>
        </is>
      </c>
      <c r="F5" s="35" t="inlineStr">
        <is>
          <t>14-03-2022</t>
        </is>
      </c>
      <c r="G5" s="41" t="n"/>
    </row>
    <row r="6" ht="18.75" customHeight="1">
      <c r="A6" s="1" t="n"/>
      <c r="B6" s="1" t="n"/>
      <c r="C6" s="1" t="n"/>
      <c r="D6" s="1" t="n"/>
      <c r="E6" s="1" t="n"/>
      <c r="F6" s="1" t="n"/>
      <c r="G6" s="1" t="n"/>
    </row>
    <row r="7" ht="37.5" customHeight="1">
      <c r="A7" s="3" t="inlineStr">
        <is>
          <t>NOMBE</t>
        </is>
      </c>
      <c r="B7" s="41" t="n"/>
      <c r="C7" s="3" t="inlineStr">
        <is>
          <t>PROYECTO</t>
        </is>
      </c>
      <c r="D7" s="41" t="n"/>
      <c r="E7" s="42" t="inlineStr">
        <is>
          <t>LUGAR DE VISITA</t>
        </is>
      </c>
      <c r="F7" s="41" t="n"/>
      <c r="G7" s="3" t="inlineStr">
        <is>
          <t>ANTICIPO</t>
        </is>
      </c>
    </row>
    <row r="8" ht="18.75" customHeight="1">
      <c r="A8" s="43" t="inlineStr">
        <is>
          <t>LEON JUAREZ ESTEBAN</t>
        </is>
      </c>
      <c r="B8" s="44" t="n"/>
      <c r="C8" s="45" t="inlineStr">
        <is>
          <t xml:space="preserve">OAXACA </t>
        </is>
      </c>
      <c r="D8" s="44" t="n"/>
      <c r="E8" s="43" t="n"/>
      <c r="F8" s="44" t="n"/>
      <c r="G8" s="46" t="n">
        <v>0</v>
      </c>
    </row>
    <row r="9" ht="18.75" customHeight="1">
      <c r="A9" s="47" t="n"/>
      <c r="B9" s="48" t="n"/>
      <c r="C9" s="47" t="n"/>
      <c r="D9" s="48" t="n"/>
      <c r="E9" s="47" t="n"/>
      <c r="F9" s="48" t="n"/>
      <c r="G9" s="49" t="n"/>
    </row>
    <row r="10" ht="18.75" customHeight="1">
      <c r="A10" s="1" t="n"/>
      <c r="B10" s="1" t="n"/>
      <c r="C10" s="1" t="n"/>
      <c r="D10" s="1" t="n"/>
      <c r="E10" s="1" t="n"/>
      <c r="F10" s="1" t="n"/>
      <c r="G10" s="1" t="n"/>
    </row>
    <row r="11" ht="18.75" customHeight="1">
      <c r="A11" s="4" t="inlineStr">
        <is>
          <t>FECHA</t>
        </is>
      </c>
      <c r="B11" s="4" t="inlineStr">
        <is>
          <t xml:space="preserve">FACT. NO. </t>
        </is>
      </c>
      <c r="C11" s="4" t="inlineStr">
        <is>
          <t>CONCEPTO</t>
        </is>
      </c>
      <c r="D11" s="4" t="inlineStr">
        <is>
          <t>PROVEEDOR</t>
        </is>
      </c>
      <c r="E11" s="4" t="inlineStr">
        <is>
          <t>IMPORTE</t>
        </is>
      </c>
      <c r="F11" s="4" t="inlineStr">
        <is>
          <t>IVA</t>
        </is>
      </c>
      <c r="G11" s="4" t="inlineStr">
        <is>
          <t>TOTAL</t>
        </is>
      </c>
    </row>
    <row r="12" ht="24.95" customHeight="1">
      <c r="A12" s="8" t="inlineStr">
        <is>
          <t>2018-07-02</t>
        </is>
      </c>
      <c r="B12" s="9" t="inlineStr">
        <is>
          <t>0FEC2A65-F744-4E61-B65C-B5EC11B1EF45</t>
        </is>
      </c>
      <c r="C12" s="10" t="inlineStr">
        <is>
          <t>Otros</t>
        </is>
      </c>
      <c r="D12" s="10" t="inlineStr">
        <is>
          <t>CABLEBOX S.A. DE C.V.</t>
        </is>
      </c>
      <c r="E12" s="10" t="n">
        <v>25</v>
      </c>
      <c r="F12" s="10" t="n">
        <v>3.99</v>
      </c>
      <c r="G12" s="11" t="n">
        <v>28.99</v>
      </c>
    </row>
    <row r="13" ht="24.95" customHeight="1">
      <c r="A13" s="8" t="inlineStr">
        <is>
          <t>2019-11-02</t>
        </is>
      </c>
      <c r="B13" s="10" t="inlineStr">
        <is>
          <t>9205b782-8ffa-4fa9-8370-781781fcb147</t>
        </is>
      </c>
      <c r="C13" s="10" t="inlineStr">
        <is>
          <t>Otros</t>
        </is>
      </c>
      <c r="D13" s="10" t="inlineStr">
        <is>
          <t>BANCO INBURSA S.A. INSTITUCION DE BANCA MULTIPLE, GRUPO FINANCIERO INBURSA</t>
        </is>
      </c>
      <c r="E13" s="10" t="n">
        <v>0.01</v>
      </c>
      <c r="F13" s="10" t="n">
        <v>0</v>
      </c>
      <c r="G13" s="11" t="n">
        <v>0</v>
      </c>
    </row>
    <row r="14" ht="24.95" customHeight="1">
      <c r="A14" s="12" t="inlineStr">
        <is>
          <t>2022-03-14</t>
        </is>
      </c>
      <c r="B14" s="12" t="inlineStr">
        <is>
          <t>DFE27BB9-8F00-5310-95A2-2059FBE60D0C</t>
        </is>
      </c>
      <c r="C14" s="12" t="inlineStr">
        <is>
          <t>Transporte</t>
        </is>
      </c>
      <c r="D14" s="12" t="inlineStr">
        <is>
          <t>MOBILITY DAE</t>
        </is>
      </c>
      <c r="E14" s="12" t="n">
        <v>163.75</v>
      </c>
      <c r="F14" s="11" t="n">
        <v>26.2</v>
      </c>
      <c r="G14" s="11" t="n">
        <v>189.95</v>
      </c>
    </row>
    <row r="15" ht="24.95" customHeight="1">
      <c r="A15" s="12" t="n"/>
      <c r="B15" s="12" t="n"/>
      <c r="C15" s="12" t="n"/>
      <c r="D15" s="12" t="n"/>
      <c r="E15" s="12" t="n"/>
      <c r="F15" s="11" t="n"/>
      <c r="G15" s="11" t="n"/>
    </row>
    <row r="16" ht="24.95" customHeight="1">
      <c r="A16" s="12" t="n"/>
      <c r="B16" s="12" t="n"/>
      <c r="C16" s="12" t="n"/>
      <c r="D16" s="12" t="n"/>
      <c r="E16" s="12" t="n"/>
      <c r="F16" s="11" t="n"/>
      <c r="G16" s="11" t="n"/>
    </row>
    <row r="17" ht="24.95" customHeight="1">
      <c r="A17" s="12" t="n"/>
      <c r="B17" s="12" t="n"/>
      <c r="C17" s="12" t="n"/>
      <c r="D17" s="12" t="n"/>
      <c r="E17" s="12" t="n"/>
      <c r="F17" s="11" t="n"/>
      <c r="G17" s="11" t="n"/>
    </row>
    <row r="18" ht="24.95" customHeight="1">
      <c r="A18" s="12" t="n"/>
      <c r="B18" s="12" t="n"/>
      <c r="C18" s="12" t="n"/>
      <c r="D18" s="12" t="n"/>
      <c r="E18" s="12" t="n"/>
      <c r="F18" s="11" t="n"/>
      <c r="G18" s="11" t="n"/>
    </row>
    <row r="19" ht="24.95" customHeight="1">
      <c r="A19" s="12" t="n"/>
      <c r="B19" s="12" t="n"/>
      <c r="C19" s="12" t="n"/>
      <c r="D19" s="12" t="n"/>
      <c r="E19" s="12" t="n"/>
      <c r="F19" s="11" t="n"/>
      <c r="G19" s="11" t="n"/>
    </row>
    <row r="20" ht="24.95" customHeight="1">
      <c r="A20" s="12" t="n"/>
      <c r="B20" s="12" t="n"/>
      <c r="C20" s="12" t="n"/>
      <c r="D20" s="12" t="n"/>
      <c r="E20" s="12" t="n"/>
      <c r="F20" s="11" t="n"/>
      <c r="G20" s="11" t="n"/>
    </row>
    <row r="21" ht="24.95" customHeight="1">
      <c r="A21" s="12" t="n"/>
      <c r="B21" s="12" t="n"/>
      <c r="C21" s="12" t="n"/>
      <c r="D21" s="12" t="n"/>
      <c r="E21" s="12" t="n"/>
      <c r="F21" s="11" t="n"/>
      <c r="G21" s="11" t="n"/>
    </row>
    <row r="22" ht="24.95" customHeight="1">
      <c r="A22" s="12" t="n"/>
      <c r="B22" s="12" t="n"/>
      <c r="C22" s="12" t="n"/>
      <c r="D22" s="12" t="n"/>
      <c r="E22" s="12" t="n"/>
      <c r="F22" s="11" t="n"/>
      <c r="G22" s="11" t="n"/>
    </row>
    <row r="23" ht="24.95" customHeight="1">
      <c r="A23" s="12" t="n"/>
      <c r="B23" s="12" t="n"/>
      <c r="C23" s="12" t="n"/>
      <c r="D23" s="12" t="n"/>
      <c r="E23" s="12" t="n"/>
      <c r="F23" s="11" t="n"/>
      <c r="G23" s="11" t="n"/>
    </row>
    <row r="24" ht="24.95" customHeight="1">
      <c r="A24" s="12" t="n"/>
      <c r="B24" s="12" t="n"/>
      <c r="C24" s="12" t="n"/>
      <c r="D24" s="12" t="n"/>
      <c r="E24" s="12" t="n"/>
      <c r="F24" s="11" t="n"/>
      <c r="G24" s="11" t="n"/>
    </row>
    <row r="25" ht="24.95" customHeight="1">
      <c r="A25" s="12" t="n"/>
      <c r="B25" s="12" t="n"/>
      <c r="C25" s="12" t="n"/>
      <c r="D25" s="12" t="n"/>
      <c r="E25" s="12" t="n"/>
      <c r="F25" s="11" t="n"/>
      <c r="G25" s="11" t="n"/>
    </row>
    <row r="26" ht="24.95" customHeight="1">
      <c r="A26" s="12" t="n"/>
      <c r="B26" s="12" t="n"/>
      <c r="C26" s="12" t="n"/>
      <c r="D26" s="12" t="n"/>
      <c r="E26" s="12" t="n"/>
      <c r="F26" s="11" t="n"/>
      <c r="G26" s="11" t="n"/>
    </row>
    <row r="27" ht="24.95" customHeight="1">
      <c r="A27" s="12" t="n"/>
      <c r="B27" s="12" t="n"/>
      <c r="C27" s="12" t="n"/>
      <c r="D27" s="12" t="n"/>
      <c r="E27" s="12" t="n"/>
      <c r="F27" s="11" t="n"/>
      <c r="G27" s="11" t="n"/>
    </row>
    <row r="28" ht="24.95" customHeight="1">
      <c r="A28" s="12" t="n"/>
      <c r="B28" s="12" t="n"/>
      <c r="C28" s="12" t="n"/>
      <c r="D28" s="12" t="n"/>
      <c r="E28" s="12" t="n"/>
      <c r="F28" s="11" t="n"/>
      <c r="G28" s="11" t="n"/>
    </row>
    <row r="29" ht="24.95" customHeight="1">
      <c r="A29" s="12" t="n"/>
      <c r="B29" s="12" t="n"/>
      <c r="C29" s="12" t="n"/>
      <c r="D29" s="12" t="n"/>
      <c r="E29" s="12" t="n"/>
      <c r="F29" s="11" t="n"/>
      <c r="G29" s="11" t="n"/>
    </row>
    <row r="30" ht="24.95" customHeight="1">
      <c r="A30" s="12" t="n"/>
      <c r="B30" s="12" t="n"/>
      <c r="C30" s="12" t="n"/>
      <c r="D30" s="12" t="n"/>
      <c r="E30" s="12" t="n"/>
      <c r="F30" s="11" t="n"/>
      <c r="G30" s="11" t="n"/>
    </row>
    <row r="31" ht="24.95" customHeight="1">
      <c r="A31" s="12" t="n"/>
      <c r="B31" s="12" t="n"/>
      <c r="C31" s="12" t="n"/>
      <c r="D31" s="12" t="n"/>
      <c r="E31" s="12" t="n"/>
      <c r="F31" s="11" t="n"/>
      <c r="G31" s="11" t="n"/>
    </row>
    <row r="32" ht="24.95" customHeight="1">
      <c r="A32" s="12" t="n"/>
      <c r="B32" s="12" t="n"/>
      <c r="C32" s="12" t="n"/>
      <c r="D32" s="12" t="n"/>
      <c r="E32" s="12" t="n"/>
      <c r="F32" s="11" t="n"/>
      <c r="G32" s="11" t="n"/>
    </row>
    <row r="33" ht="24.95" customHeight="1">
      <c r="A33" s="12" t="n"/>
      <c r="B33" s="12" t="n"/>
      <c r="C33" s="12" t="n"/>
      <c r="D33" s="12" t="n"/>
      <c r="E33" s="12" t="n"/>
      <c r="F33" s="11" t="n"/>
      <c r="G33" s="11" t="n"/>
    </row>
    <row r="34" ht="24.95" customHeight="1">
      <c r="A34" s="12" t="n"/>
      <c r="B34" s="12" t="n"/>
      <c r="C34" s="12" t="n"/>
      <c r="D34" s="12" t="n"/>
      <c r="E34" s="12" t="n"/>
      <c r="F34" s="11" t="n"/>
      <c r="G34" s="11" t="n"/>
    </row>
    <row r="35" ht="24.95" customHeight="1">
      <c r="A35" s="12" t="n"/>
      <c r="B35" s="12" t="n"/>
      <c r="C35" s="12" t="n"/>
      <c r="D35" s="12" t="n"/>
      <c r="E35" s="12" t="n"/>
      <c r="F35" s="11" t="n"/>
      <c r="G35" s="11" t="n"/>
    </row>
    <row r="36" ht="24.95" customHeight="1">
      <c r="A36" s="12" t="n"/>
      <c r="B36" s="12" t="n"/>
      <c r="C36" s="12" t="n"/>
      <c r="D36" s="12" t="n"/>
      <c r="E36" s="12" t="n"/>
      <c r="F36" s="11" t="n"/>
      <c r="G36" s="11" t="n"/>
    </row>
    <row r="37" ht="24.95" customHeight="1">
      <c r="A37" s="12" t="n"/>
      <c r="B37" s="12" t="n"/>
      <c r="C37" s="12" t="n"/>
      <c r="D37" s="12" t="n"/>
      <c r="E37" s="12" t="n"/>
      <c r="F37" s="11" t="n"/>
      <c r="G37" s="11" t="n"/>
    </row>
    <row r="38" ht="24.95" customHeight="1">
      <c r="A38" s="12" t="n"/>
      <c r="B38" s="12" t="n"/>
      <c r="C38" s="12" t="n"/>
      <c r="D38" s="12" t="n"/>
      <c r="E38" s="12" t="n"/>
      <c r="F38" s="11" t="n"/>
      <c r="G38" s="11" t="n"/>
    </row>
    <row r="39" ht="24.95" customHeight="1">
      <c r="A39" s="12" t="n"/>
      <c r="B39" s="12" t="n"/>
      <c r="C39" s="12" t="n"/>
      <c r="D39" s="12" t="n"/>
      <c r="E39" s="12" t="n"/>
      <c r="F39" s="11" t="n"/>
      <c r="G39" s="11" t="n"/>
    </row>
    <row r="40" ht="24.95" customHeight="1">
      <c r="A40" s="12" t="n"/>
      <c r="B40" s="12" t="n"/>
      <c r="C40" s="12" t="n"/>
      <c r="D40" s="12" t="n"/>
      <c r="E40" s="12" t="n"/>
      <c r="F40" s="11" t="n"/>
      <c r="G40" s="11" t="n"/>
    </row>
    <row r="41" ht="24.95" customHeight="1">
      <c r="A41" s="12" t="n"/>
      <c r="B41" s="12" t="n"/>
      <c r="C41" s="12" t="n"/>
      <c r="D41" s="12" t="n"/>
      <c r="E41" s="12" t="n"/>
      <c r="F41" s="11" t="n"/>
      <c r="G41" s="11" t="n"/>
    </row>
    <row r="42" ht="24.95" customHeight="1">
      <c r="A42" s="12" t="n"/>
      <c r="B42" s="12" t="n"/>
      <c r="C42" s="12" t="n"/>
      <c r="D42" s="12" t="n"/>
      <c r="E42" s="12" t="n"/>
      <c r="F42" s="11" t="n"/>
      <c r="G42" s="11" t="n"/>
    </row>
    <row r="43" ht="24.95" customHeight="1">
      <c r="A43" s="12" t="n"/>
      <c r="B43" s="12" t="n"/>
      <c r="C43" s="12" t="n"/>
      <c r="D43" s="12" t="n"/>
      <c r="E43" s="12" t="n"/>
      <c r="F43" s="11" t="n"/>
      <c r="G43" s="11" t="n"/>
    </row>
    <row r="44" ht="24.95" customHeight="1">
      <c r="A44" s="12" t="n"/>
      <c r="B44" s="12" t="n"/>
      <c r="C44" s="12" t="n"/>
      <c r="D44" s="12" t="n"/>
      <c r="E44" s="12" t="n"/>
      <c r="F44" s="11" t="n"/>
      <c r="G44" s="11" t="n"/>
    </row>
    <row r="45" ht="24.95" customHeight="1">
      <c r="A45" s="12" t="n"/>
      <c r="B45" s="12" t="n"/>
      <c r="C45" s="12" t="n"/>
      <c r="D45" s="12" t="n"/>
      <c r="E45" s="12" t="n"/>
      <c r="F45" s="11" t="n"/>
      <c r="G45" s="11" t="n"/>
    </row>
    <row r="46" ht="24.95" customHeight="1">
      <c r="A46" s="12" t="n"/>
      <c r="B46" s="12" t="n"/>
      <c r="C46" s="12" t="n"/>
      <c r="D46" s="12" t="n"/>
      <c r="E46" s="12" t="n"/>
      <c r="F46" s="11" t="n"/>
      <c r="G46" s="11" t="n"/>
    </row>
    <row r="47" ht="24.95" customHeight="1">
      <c r="A47" s="12" t="n"/>
      <c r="B47" s="12" t="n"/>
      <c r="C47" s="12" t="n"/>
      <c r="D47" s="12" t="n"/>
      <c r="E47" s="4" t="inlineStr">
        <is>
          <t>IMPORTE</t>
        </is>
      </c>
      <c r="F47" s="4" t="inlineStr">
        <is>
          <t>IVA</t>
        </is>
      </c>
      <c r="G47" s="4" t="inlineStr">
        <is>
          <t>TOTAL</t>
        </is>
      </c>
    </row>
    <row r="48" ht="18.75" customHeight="1">
      <c r="D48" s="4" t="inlineStr">
        <is>
          <t>Deducibles</t>
        </is>
      </c>
      <c r="E48" s="38">
        <f t="array" ref="E48">SUMPRODUCT((LEN(B12:B46)&gt;18)*E12:E46)</f>
        <v/>
      </c>
      <c r="F48" s="38">
        <f t="array" ref="F48">SUMPRODUCT((LEN(B12:B46)&gt;18)*F12:F46)</f>
        <v/>
      </c>
      <c r="G48" s="38">
        <f t="array" ref="G48">SUMPRODUCT((LEN(B12:B46)&gt;18)*G12:G46)</f>
        <v/>
      </c>
    </row>
    <row r="49" ht="18.75" customHeight="1">
      <c r="D49" s="4" t="inlineStr">
        <is>
          <t>No Deducibles</t>
        </is>
      </c>
      <c r="E49" s="38">
        <f t="array" ref="E49">SUMPRODUCT((LEN(B12:B46)&lt;18)*E12:E46)</f>
        <v/>
      </c>
      <c r="F49" s="38">
        <f t="array" ref="F49">SUMPRODUCT((LEN(B12:B46)&lt;18)*F12:F46)</f>
        <v/>
      </c>
      <c r="G49" s="38">
        <f t="array" ref="G49">SUMPRODUCT((LEN(B12:B46)&lt;18)*G12:G46)</f>
        <v/>
      </c>
    </row>
    <row r="50" ht="18.75" customHeight="1">
      <c r="D50" s="4" t="inlineStr">
        <is>
          <t>GRAN TOTAL</t>
        </is>
      </c>
      <c r="E50" s="7">
        <f>SUM(E12:E34)</f>
        <v/>
      </c>
      <c r="F50" s="7">
        <f>SUM(F12:F35)</f>
        <v/>
      </c>
      <c r="G50" s="7">
        <f>SUM(G12:G35)</f>
        <v/>
      </c>
    </row>
    <row r="54">
      <c r="A54" s="13" t="inlineStr">
        <is>
          <t>AUTORIZA</t>
        </is>
      </c>
      <c r="D54" s="13" t="inlineStr">
        <is>
          <t>FIRMA</t>
        </is>
      </c>
    </row>
    <row r="56">
      <c r="A56" s="6" t="n"/>
      <c r="B56" s="6" t="n"/>
      <c r="D56" s="6" t="n"/>
      <c r="E56" s="6" t="n"/>
      <c r="F56" s="6" t="n"/>
    </row>
    <row r="57">
      <c r="A57" s="14" t="inlineStr">
        <is>
          <t>BARRERA ROJO ERNESTO</t>
        </is>
      </c>
      <c r="B57" s="50" t="n"/>
      <c r="D57" s="14" t="inlineStr">
        <is>
          <t>LEON JUAREZ ESTEBAN</t>
        </is>
      </c>
      <c r="E57" s="50" t="n"/>
      <c r="F57" s="50" t="n"/>
    </row>
  </sheetData>
  <mergeCells count="16">
    <mergeCell ref="E3:G3"/>
    <mergeCell ref="F4:G4"/>
    <mergeCell ref="F5:G5"/>
    <mergeCell ref="G8:G9"/>
    <mergeCell ref="A2:B2"/>
    <mergeCell ref="A3:B3"/>
    <mergeCell ref="A8:B9"/>
    <mergeCell ref="C7:D7"/>
    <mergeCell ref="C8:D9"/>
    <mergeCell ref="A54:B54"/>
    <mergeCell ref="A57:B57"/>
    <mergeCell ref="D57:F57"/>
    <mergeCell ref="D54:F54"/>
    <mergeCell ref="E7:F7"/>
    <mergeCell ref="E8:F9"/>
    <mergeCell ref="A7:B7"/>
  </mergeCells>
  <dataValidations count="1">
    <dataValidation sqref="C12:C47" showErrorMessage="1" showInputMessage="1" allowBlank="1" type="list">
      <formula1>"Transporte,Alimentos,Hospedaje,Otros"</formula1>
    </dataValidation>
  </dataValidations>
  <printOptions horizontalCentered="1" verticalCentered="1"/>
  <pageMargins left="0.2362204724409449" right="0.2362204724409449" top="0.7480314960629921" bottom="0.7480314960629921" header="0.3149606299212598" footer="0.3149606299212598"/>
  <pageSetup orientation="portrait" scale="50"/>
  <headerFooter>
    <oddHeader>&amp;C&amp;"Arial Black,Normal"&amp;18 FORMATO GASTOS DE VIAJE</oddHeader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Ximena</dc:creator>
  <dcterms:created xsi:type="dcterms:W3CDTF">2019-07-05T13:55:17Z</dcterms:created>
  <dcterms:modified xsi:type="dcterms:W3CDTF">2023-09-03T19:37:35Z</dcterms:modified>
  <cp:lastModifiedBy>Fidel Serrano-Candela</cp:lastModifiedBy>
  <cp:lastPrinted>2019-07-05T18:38:21Z</cp:lastPrinted>
</cp:coreProperties>
</file>